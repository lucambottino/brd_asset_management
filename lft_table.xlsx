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cuments\brd\"/>
    </mc:Choice>
  </mc:AlternateContent>
  <xr:revisionPtr revIDLastSave="0" documentId="8_{B736E527-2A74-4B49-B38B-C63ACBF606F6}" xr6:coauthVersionLast="47" xr6:coauthVersionMax="47" xr10:uidLastSave="{00000000-0000-0000-0000-000000000000}"/>
  <bookViews>
    <workbookView xWindow="-10910" yWindow="-110" windowWidth="11020" windowHeight="18700" xr2:uid="{00000000-000D-0000-FFFF-FFFF00000000}"/>
  </bookViews>
  <sheets>
    <sheet name="Rateio LFT" sheetId="1" r:id="rId1"/>
    <sheet name="Sheet1" sheetId="2" r:id="rId2"/>
  </sheets>
  <definedNames>
    <definedName name="_xlnm._FilterDatabase" localSheetId="0" hidden="1">'Rateio LFT'!$A$1:$I$15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J2" i="1"/>
</calcChain>
</file>

<file path=xl/sharedStrings.xml><?xml version="1.0" encoding="utf-8"?>
<sst xmlns="http://schemas.openxmlformats.org/spreadsheetml/2006/main" count="303" uniqueCount="176">
  <si>
    <t>Account</t>
  </si>
  <si>
    <t>Data de Compra</t>
  </si>
  <si>
    <t>Investido (BRL)</t>
  </si>
  <si>
    <t>IOF (BRL)</t>
  </si>
  <si>
    <t>IR (BRL)</t>
  </si>
  <si>
    <t>Rendimento Bruto (BRL)</t>
  </si>
  <si>
    <t>Rendimento Líquido (BRL)</t>
  </si>
  <si>
    <t>Lucro Bruto %</t>
  </si>
  <si>
    <t>Lucro Líquido %</t>
  </si>
  <si>
    <t>6pgtAbfCwukveUfKYm22FEHP8w7NKD9Vd73NaCExLAKi</t>
  </si>
  <si>
    <t>CbVUNS2kgnJszuWwP7ioxGLkUHGWppbcAitC5AynnDSx</t>
  </si>
  <si>
    <t>czTNJnh5ihaYfaWzSjjratZrqMcw318KAPBQHdsvVBf</t>
  </si>
  <si>
    <t>Ai6gzjwzCL9E1rVMR9gP5gD9Y9Eds1uKj1NoC3ggJw4T</t>
  </si>
  <si>
    <t>9bxQUSioYmCfqeraQ4x1UND5k2PLMmMxLDMCGxVW9Mzz</t>
  </si>
  <si>
    <t>8wju6VrZpjoZC5TZTGWVJSjNMnz8qeKweZpArcu8BoX9</t>
  </si>
  <si>
    <t>3qsNsvWUJsZTk9FS3mmFv2YiUD6gPUJwpeqLQv4ahof8</t>
  </si>
  <si>
    <t>3hJgnmP5gZfkV876PnvJpzCUrq9vGm9fckQNhUB6ftWV</t>
  </si>
  <si>
    <t>5h1sZWC93q9mWihsa2tvrsuJoqGY58655CSHkug2opRV</t>
  </si>
  <si>
    <t>GMuR2i1TfXKvdXJn3iBZCdXomnqVQN3NpEApnmixEndb</t>
  </si>
  <si>
    <t>3DHW2ZCYcKdzqBxyeVcG6TxG6foHdokvJS6Xr55VKPZq</t>
  </si>
  <si>
    <t>5C7R3fhGJ37wBWEbSrw8KU8sfj8zeoctDAFDkLxcJmgv</t>
  </si>
  <si>
    <t>GuU4YH1v6DdkbZwh5Qi7prDxEupGFTtUaTU7EpzRHbQU</t>
  </si>
  <si>
    <t>AiYxij88KRXxWiAhNMqzxBd33wu5CSUd6KPAdoZETgfL</t>
  </si>
  <si>
    <t>Carimbo de data/hora</t>
  </si>
  <si>
    <t>Endereço de e-mail</t>
  </si>
  <si>
    <t>Termo de Consentimento e Responsabilidade</t>
  </si>
  <si>
    <t>Qual é a natureza da conta a ser aberta?</t>
  </si>
  <si>
    <t>Razão Social 
(Conforme registrado no Contrato Social/Estatuto)</t>
  </si>
  <si>
    <t>CNPJ (Cadastro Nacional da Pessoa Jurídica)</t>
  </si>
  <si>
    <t>Identificação de Sócios e Beneficiários Finais (UBO)</t>
  </si>
  <si>
    <t>Upload: Atos Constitutivos</t>
  </si>
  <si>
    <t>Upload: Documentos dos Sócios/Administradores</t>
  </si>
  <si>
    <t>Nome Completo</t>
  </si>
  <si>
    <t>CPF (Cadastro de Pessoas Físicas)</t>
  </si>
  <si>
    <t>Data de Nascimento</t>
  </si>
  <si>
    <t>Nacionalidade</t>
  </si>
  <si>
    <t>Endereço Residencial</t>
  </si>
  <si>
    <t>Upload: Documento de Identificação</t>
  </si>
  <si>
    <t>Upload: Comprovante de Residência</t>
  </si>
  <si>
    <t>Renda Mensal (PF) ou Faturamento Médio Mensal (PJ)</t>
  </si>
  <si>
    <t>Volume Mensal Estimado de Transações na Skatt</t>
  </si>
  <si>
    <t>Declaração de Pessoa Politicamente Exposta (PPE)</t>
  </si>
  <si>
    <t>Dados Bancários Principal - Conta de Origem</t>
  </si>
  <si>
    <t>Carteira de Destino (Wallet)</t>
  </si>
  <si>
    <t>Nível de Conhecimento em Criptoativos</t>
  </si>
  <si>
    <t>Objetivo da Conta</t>
  </si>
  <si>
    <t>Depositou?</t>
  </si>
  <si>
    <t>Contrato Enviado</t>
  </si>
  <si>
    <t>stephane@prosperojus.com.br</t>
  </si>
  <si>
    <t>Sim, concordo e autorizo o tratamento dos meus dados</t>
  </si>
  <si>
    <t>Pessoa Física (PF)</t>
  </si>
  <si>
    <t>Stephane Alberto Lopes</t>
  </si>
  <si>
    <t>Francesa</t>
  </si>
  <si>
    <t>Rua Seridó, 106, 261-B, Jardim Europa, São Paulo, São Paulo, 01455-040</t>
  </si>
  <si>
    <t>https://drive.google.com/open?id=1EXBtJbp1ToG21SdUVkLOxTGPgh0cI_S6</t>
  </si>
  <si>
    <t>https://drive.google.com/open?id=1W_j7gztfEm4D8Es7WH9sm8XEZrOoAINW</t>
  </si>
  <si>
    <t>Não</t>
  </si>
  <si>
    <t>Itau, conta corrente, 3777, 16003-1</t>
  </si>
  <si>
    <t>Intermediário (Já realizei operações, mas não conheço detalhes técnicos)</t>
  </si>
  <si>
    <t>Investimento de Longo Prazo (Hold)</t>
  </si>
  <si>
    <t>SIM</t>
  </si>
  <si>
    <t>albitaly360@gmail.com</t>
  </si>
  <si>
    <t>Nanci Szechtman Bannwart</t>
  </si>
  <si>
    <t>Brasileira</t>
  </si>
  <si>
    <t>Alameda barros 7”2, apto 151, cep 01232-000 SP/SP</t>
  </si>
  <si>
    <t>https://drive.google.com/drive/u/1/folders/14g3smzR0068eovWdd1B5-Ft03qsUUQqnucdazEz6KXFUqFqVe2lRxgZ49ON9rFvZi9iBrgnd</t>
  </si>
  <si>
    <t>https://drive.google.com/open?id=1nI1A3D4f56lflc7z2cc5vUhWkEbkbrXE</t>
  </si>
  <si>
    <t>Banco itau 3777 cc 14229-4</t>
  </si>
  <si>
    <t>marcelo@mbsadv.com</t>
  </si>
  <si>
    <t>Marcelo Godoy da Cunha Magalhaes</t>
  </si>
  <si>
    <t>Brasileiro</t>
  </si>
  <si>
    <t>Rua Dr Alberto Lyra 345 Apto 21</t>
  </si>
  <si>
    <t>https://drive.google.com/open?id=1BqQHLc8PmYDgwRyJjsW00l2nn-8_T-n0</t>
  </si>
  <si>
    <t>https://drive.google.com/open?id=1mZQj4tYQyal4G51VSq4brohGyF9nSGPS</t>
  </si>
  <si>
    <t>Bradesco conta corrente agencia 0133 conta 391236-1</t>
  </si>
  <si>
    <t>Básico (Tenho pouco ou nenhum conhecimento)</t>
  </si>
  <si>
    <t>ivan.yuri31@gmail.com</t>
  </si>
  <si>
    <t>Ivan Augusto Yuri Rodarte</t>
  </si>
  <si>
    <t>https://drive.google.com/open?id=1T-hJe8uIqiuqIO963t3Ojdxq6PiSFBjE</t>
  </si>
  <si>
    <t>https://drive.google.com/open?id=11jEwfU-6wLrFuyjJijuFADkWJCeKnDZJ</t>
  </si>
  <si>
    <t>Itaú, conta corrente, 7048, 310000-4, 11976223961</t>
  </si>
  <si>
    <t>claytoncampos76@gmail.com</t>
  </si>
  <si>
    <t>Clayton de Camargo Campos</t>
  </si>
  <si>
    <t>Rua Fonseca Teixieira, 15, Sao Paulo, SP, CEP 05670-040</t>
  </si>
  <si>
    <t>https://drive.google.com/open?id=1u8qfDLZYSe5-5moRZOAz9x-voB6M1yjc</t>
  </si>
  <si>
    <t>https://drive.google.com/open?id=1n3zrGugAUb_uXTO771-5j-7qO8UghKZI</t>
  </si>
  <si>
    <t>Itau / ag 1608 / conta 29430-0</t>
  </si>
  <si>
    <t>pedromarinhonunes63@gmail.com</t>
  </si>
  <si>
    <t>Não concordo</t>
  </si>
  <si>
    <t>palmier@qmscapital.com.br</t>
  </si>
  <si>
    <t>Andre Luiz da Fonseca Palmier Nunes</t>
  </si>
  <si>
    <t>Av Afonso Braz 155 ap 171</t>
  </si>
  <si>
    <t>https://drive.google.com/open?id=1bz5HwewKiaffuqKY2ZCSfRa3z5WcdSff</t>
  </si>
  <si>
    <t>https://drive.google.com/open?id=1omWAb2x4x2l244dFc3e4rZEtaTfeo4TL</t>
  </si>
  <si>
    <t>Banco itau conta corrente agencia 3777 conta 07627-8</t>
  </si>
  <si>
    <t>skulikovsky@gmail.com</t>
  </si>
  <si>
    <t>Sergio Kulikovsky</t>
  </si>
  <si>
    <t>Brasil</t>
  </si>
  <si>
    <t>3 Boronia Road, Bellevue Hill NSW 2023 Australia</t>
  </si>
  <si>
    <t>https://drive.google.com/open?id=1zA-6CqkarGTJlmucKGT1mLHj6EoLTU-v</t>
  </si>
  <si>
    <t>https://drive.google.com/open?id=1DvoVGYTuoyyHc4VzY19uLETkupwB95Sl</t>
  </si>
  <si>
    <t>Banco 260, Ag 001, CC 3682197-4, chave Pix: kulikovsky@hotmail.com</t>
  </si>
  <si>
    <t>H9kLXtDvbEf4SULy2qLuAKQje2vo3hNCNvoAwzvTmgue</t>
  </si>
  <si>
    <t>Avançado (Conheço o funcionamento de blockchain, custódia e volatilidade)</t>
  </si>
  <si>
    <t>dhcohn18@gmail.com</t>
  </si>
  <si>
    <t>Daniel Henrique Cohn</t>
  </si>
  <si>
    <t>Rua Angelina Maffei Vita, 344 - Apto 101, Jardim Europa, São Paulo, SP, CEP 01455-070</t>
  </si>
  <si>
    <t>https://drive.google.com/open?id=1rR10QYLEqUWyZC34XV60mTIvTdxINKIJ</t>
  </si>
  <si>
    <t>https://drive.google.com/open?id=1l55DYfgV1zCawcPf8JF5WcWN_ZWIRmYS</t>
  </si>
  <si>
    <t>Itaú, conta corrente, 3777 / 00846-1, 11991542141</t>
  </si>
  <si>
    <t>cesar.viana@succespar.com.br</t>
  </si>
  <si>
    <t>Cesar Augusto Pires Viana</t>
  </si>
  <si>
    <t>003.755.399-21</t>
  </si>
  <si>
    <t>Av ibirapuera 2332 - 111 T2 - Indianopolis CEP 04028002</t>
  </si>
  <si>
    <t>https://drive.google.com/open?id=1-AWrL3yGiECiZNSvsbKKzG4n1F30g962</t>
  </si>
  <si>
    <t>https://drive.google.com/open?id=1nKX92ffki17SLed4HvGAYB-YM5iOQVLC</t>
  </si>
  <si>
    <t>Banco Itau Ag 7051 C/C 29.643-7</t>
  </si>
  <si>
    <t>7TAi5LCh5BGkH62y8o5F1cbY2jwBqYD946fhTY7JLnXH</t>
  </si>
  <si>
    <t>amaral@vintageinvest.com.br</t>
  </si>
  <si>
    <t>Guilherme Amaral Ferraz</t>
  </si>
  <si>
    <t>059.484.968-30</t>
  </si>
  <si>
    <t>São Paulo</t>
  </si>
  <si>
    <t>Piazza Giovine Italia 002 - 20123 Milano Mi Italia</t>
  </si>
  <si>
    <t>https://drive.google.com/open?id=1JB7XfDHgUHfSfXhIzhLIGCJvQl4-c7NH</t>
  </si>
  <si>
    <t>https://drive.google.com/open?id=1LhfoE6SvT8HjNcTwiEAyKblWEUC8BqPl</t>
  </si>
  <si>
    <t>banco BTG Conta INR ( Investidor Nao Residente )</t>
  </si>
  <si>
    <t>fgrv6mX2wApQYX3mow7mtRRyJ4qNS5zKnUXCnBGDHQD</t>
  </si>
  <si>
    <t>maurobergstein@gmail.com</t>
  </si>
  <si>
    <t>Mauro Bergstein</t>
  </si>
  <si>
    <t>Brazil</t>
  </si>
  <si>
    <t>Rua Morás 506/41</t>
  </si>
  <si>
    <t>https://drive.google.com/open?id=1coYkb6AmeCb8ICTaXZYKX2pU_sPk1Tu6</t>
  </si>
  <si>
    <t>https://drive.google.com/open?id=1z2JAbbw0yu5cez5QYC63aX1TQKaW9Kjd</t>
  </si>
  <si>
    <t>Banco Itaú / agência 3777 c/c 13033-1 / pix: 92637434791</t>
  </si>
  <si>
    <t>ednammsalles@gmail.com</t>
  </si>
  <si>
    <t>Rodolfo Henrique Fischer</t>
  </si>
  <si>
    <t>Rua Recanto, 127 - Chácara Flora - CEP: 04644-020 - São Paulo</t>
  </si>
  <si>
    <t>https://drive.google.com/open?id=1Saqzr3SAkVJ-3AhN1NYwZzWdHTIDlQnQ</t>
  </si>
  <si>
    <t>https://drive.google.com/open?id=1w5Jhk-zyZtAGYQeeVL6ZFEG8sY620v5P</t>
  </si>
  <si>
    <t>Não será movimentada</t>
  </si>
  <si>
    <t>Banco Itaú - agência 3747 c/c: 00681-9</t>
  </si>
  <si>
    <t>3VJhVPnbQ8kJsy6shcHPzdySNjEaZQHVKdu8YakrHfwu</t>
  </si>
  <si>
    <t>Pedro Rezende Marinho Nunes</t>
  </si>
  <si>
    <t>Rua Tucuma 712, 111, SP - SP cep 01455-010</t>
  </si>
  <si>
    <t>https://drive.google.com/open?id=1HdXMglKUcldk3BMUMTfLcR4hVo0xEFKs</t>
  </si>
  <si>
    <t>https://drive.google.com/open?id=19x8DLvG3T8nW-Ds1jRcTo6FwTGdIofre</t>
  </si>
  <si>
    <t>Itau, conta corrente, 3789, 14412-2, 893.312.147-15 (cpf, chave pix)</t>
  </si>
  <si>
    <t>ygormunhoz1@gmail.com</t>
  </si>
  <si>
    <t>Ygor Bernardo Munhoz</t>
  </si>
  <si>
    <t>Rua Macurape, 43, Apto 141, Itaim Bibi, São Paulo, SP, 04537060</t>
  </si>
  <si>
    <t>https://drive.google.com/open?id=1bvbEHyrDA75aK62woioXgQtSVIwk99Jk</t>
  </si>
  <si>
    <t>https://drive.google.com/open?id=15Rn15QZwnxNanpY-fH21CmHOR5WF2I1P</t>
  </si>
  <si>
    <t>Itau, CC, 9073, 24945-1, 11976525949</t>
  </si>
  <si>
    <t>desiree@nox.trading / jp@nox.trading</t>
  </si>
  <si>
    <t>Pessoa Jurídica (PJ)</t>
  </si>
  <si>
    <t>NOXPAY.IO PAGAMENTOS LTDA</t>
  </si>
  <si>
    <t>57.075.201/0001-75</t>
  </si>
  <si>
    <t>JOÃO PAULO DOS SANTOS OLIVEIRA</t>
  </si>
  <si>
    <t>https://drive.google.com/open?id=1HGtBzxH6dzWuBz6DZ1qNdD1oyhhp6LAu</t>
  </si>
  <si>
    <t>https://drive.google.com/open?id=1y3VVMHIywx8h_quIcuRunZ6SN70zItta</t>
  </si>
  <si>
    <t>300k mês</t>
  </si>
  <si>
    <t>1 milhão de reais</t>
  </si>
  <si>
    <t>CNPJ: 57.075.201/0001-75
Banco Sicoob: 756
Agência/Cooperativa: 4439
Conta: 150.209-3
Tipo: Conta corrente
chave pix 29555957-0891-417b-88c7-04eb1d6b04ff</t>
  </si>
  <si>
    <t>5GWRWpHSH3VopRfviLSP3kWGF9HL38bvWf5wPR2dKGS8</t>
  </si>
  <si>
    <t>Pagamentos e Transferências</t>
  </si>
  <si>
    <t>alexandreacp@gmail.com</t>
  </si>
  <si>
    <t>RED HILL TRADING LIMITED</t>
  </si>
  <si>
    <t>Delfos Machado Neto - 100%</t>
  </si>
  <si>
    <t>https://drive.google.com/open?id=1HZJczsaA7M7dmL-IXV93caTPjfRZisF-, https://drive.google.com/open?id=1MCIMFpavwn-4AIj3_g5yCw4Bd0Egg0Jn, https://drive.google.com/open?id=1edE03xDL-cjpn_3PiMWqe-BVaz6yoRM7</t>
  </si>
  <si>
    <t>https://drive.google.com/open?id=15ykWeVu0eQ1F5vc4EUPIzZIxOmZkH6KJ</t>
  </si>
  <si>
    <t>50,000.00</t>
  </si>
  <si>
    <t>Entidade Extrangeira, não possui conta bancária no Brazil.</t>
  </si>
  <si>
    <t>Trading / Especulação de Curto Prazo</t>
  </si>
  <si>
    <t>e-mail</t>
  </si>
  <si>
    <t>name</t>
  </si>
  <si>
    <t>Delfos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</si>
</sst>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165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65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22" fontId="3" fillId="4" borderId="4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4" fontId="3" fillId="4" borderId="5" xfId="0" applyNumberFormat="1" applyFont="1" applyFill="1" applyBorder="1" applyAlignment="1">
      <alignment horizontal="right" vertical="center" wrapText="1"/>
    </xf>
    <xf numFmtId="0" fontId="5" fillId="4" borderId="5" xfId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22" fontId="3" fillId="5" borderId="7" xfId="0" applyNumberFormat="1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right" vertical="center" wrapText="1"/>
    </xf>
    <xf numFmtId="14" fontId="3" fillId="5" borderId="8" xfId="0" applyNumberFormat="1" applyFont="1" applyFill="1" applyBorder="1" applyAlignment="1">
      <alignment horizontal="right" vertical="center" wrapText="1"/>
    </xf>
    <xf numFmtId="0" fontId="5" fillId="5" borderId="8" xfId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4" fontId="3" fillId="4" borderId="5" xfId="0" applyNumberFormat="1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 wrapText="1"/>
    </xf>
    <xf numFmtId="22" fontId="3" fillId="4" borderId="9" xfId="0" applyNumberFormat="1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right" vertical="center" wrapText="1"/>
    </xf>
    <xf numFmtId="14" fontId="3" fillId="4" borderId="10" xfId="0" applyNumberFormat="1" applyFont="1" applyFill="1" applyBorder="1" applyAlignment="1">
      <alignment horizontal="right" vertical="center" wrapText="1"/>
    </xf>
    <xf numFmtId="0" fontId="5" fillId="4" borderId="10" xfId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22" fontId="3" fillId="6" borderId="12" xfId="0" applyNumberFormat="1" applyFont="1" applyFill="1" applyBorder="1" applyAlignment="1">
      <alignment horizontal="right" vertical="center" wrapText="1"/>
    </xf>
    <xf numFmtId="0" fontId="3" fillId="6" borderId="13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horizontal="right" vertical="center" wrapText="1"/>
    </xf>
    <xf numFmtId="14" fontId="3" fillId="6" borderId="13" xfId="0" applyNumberFormat="1" applyFont="1" applyFill="1" applyBorder="1" applyAlignment="1">
      <alignment horizontal="right" vertical="center" wrapText="1"/>
    </xf>
    <xf numFmtId="0" fontId="5" fillId="6" borderId="13" xfId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4" fontId="3" fillId="5" borderId="8" xfId="0" applyNumberFormat="1" applyFont="1" applyFill="1" applyBorder="1" applyAlignment="1">
      <alignment horizontal="right" vertical="center" wrapText="1"/>
    </xf>
    <xf numFmtId="22" fontId="3" fillId="4" borderId="14" xfId="0" applyNumberFormat="1" applyFont="1" applyFill="1" applyBorder="1" applyAlignment="1">
      <alignment horizontal="right"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right" vertical="center" wrapText="1"/>
    </xf>
    <xf numFmtId="0" fontId="5" fillId="4" borderId="15" xfId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4" fontId="3" fillId="4" borderId="15" xfId="0" applyNumberFormat="1" applyFont="1" applyFill="1" applyBorder="1" applyAlignment="1">
      <alignment horizontal="right" vertical="center" wrapText="1"/>
    </xf>
    <xf numFmtId="0" fontId="4" fillId="4" borderId="1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1jEwfU-6wLrFuyjJijuFADkWJCeKnDZJ" TargetMode="External"/><Relationship Id="rId13" Type="http://schemas.openxmlformats.org/officeDocument/2006/relationships/hyperlink" Target="https://drive.google.com/open?id=1zA-6CqkarGTJlmucKGT1mLHj6EoLTU-v" TargetMode="External"/><Relationship Id="rId18" Type="http://schemas.openxmlformats.org/officeDocument/2006/relationships/hyperlink" Target="https://drive.google.com/open?id=1nKX92ffki17SLed4HvGAYB-YM5iOQVLC" TargetMode="External"/><Relationship Id="rId26" Type="http://schemas.openxmlformats.org/officeDocument/2006/relationships/hyperlink" Target="https://drive.google.com/open?id=19x8DLvG3T8nW-Ds1jRcTo6FwTGdIofre" TargetMode="External"/><Relationship Id="rId3" Type="http://schemas.openxmlformats.org/officeDocument/2006/relationships/hyperlink" Target="https://drive.google.com/drive/u/1/folders/14g3smzR0068eovWdd1B5-Ft03qsUUQqnucdazEz6KXFUqFqVe2lRxgZ49ON9rFvZi9iBrgnd" TargetMode="External"/><Relationship Id="rId21" Type="http://schemas.openxmlformats.org/officeDocument/2006/relationships/hyperlink" Target="https://drive.google.com/open?id=1coYkb6AmeCb8ICTaXZYKX2pU_sPk1Tu6" TargetMode="External"/><Relationship Id="rId7" Type="http://schemas.openxmlformats.org/officeDocument/2006/relationships/hyperlink" Target="https://drive.google.com/open?id=1T-hJe8uIqiuqIO963t3Ojdxq6PiSFBjE" TargetMode="External"/><Relationship Id="rId12" Type="http://schemas.openxmlformats.org/officeDocument/2006/relationships/hyperlink" Target="https://drive.google.com/open?id=1omWAb2x4x2l244dFc3e4rZEtaTfeo4TL" TargetMode="External"/><Relationship Id="rId17" Type="http://schemas.openxmlformats.org/officeDocument/2006/relationships/hyperlink" Target="https://drive.google.com/open?id=1-AWrL3yGiECiZNSvsbKKzG4n1F30g962" TargetMode="External"/><Relationship Id="rId25" Type="http://schemas.openxmlformats.org/officeDocument/2006/relationships/hyperlink" Target="https://drive.google.com/open?id=1HdXMglKUcldk3BMUMTfLcR4hVo0xEFKs" TargetMode="External"/><Relationship Id="rId2" Type="http://schemas.openxmlformats.org/officeDocument/2006/relationships/hyperlink" Target="https://drive.google.com/open?id=1W_j7gztfEm4D8Es7WH9sm8XEZrOoAINW" TargetMode="External"/><Relationship Id="rId16" Type="http://schemas.openxmlformats.org/officeDocument/2006/relationships/hyperlink" Target="https://drive.google.com/open?id=1l55DYfgV1zCawcPf8JF5WcWN_ZWIRmYS" TargetMode="External"/><Relationship Id="rId20" Type="http://schemas.openxmlformats.org/officeDocument/2006/relationships/hyperlink" Target="https://drive.google.com/open?id=1LhfoE6SvT8HjNcTwiEAyKblWEUC8BqPl" TargetMode="External"/><Relationship Id="rId29" Type="http://schemas.openxmlformats.org/officeDocument/2006/relationships/hyperlink" Target="https://drive.google.com/open?id=1HGtBzxH6dzWuBz6DZ1qNdD1oyhhp6LAu" TargetMode="External"/><Relationship Id="rId1" Type="http://schemas.openxmlformats.org/officeDocument/2006/relationships/hyperlink" Target="https://drive.google.com/open?id=1EXBtJbp1ToG21SdUVkLOxTGPgh0cI_S6" TargetMode="External"/><Relationship Id="rId6" Type="http://schemas.openxmlformats.org/officeDocument/2006/relationships/hyperlink" Target="https://drive.google.com/open?id=1mZQj4tYQyal4G51VSq4brohGyF9nSGPS" TargetMode="External"/><Relationship Id="rId11" Type="http://schemas.openxmlformats.org/officeDocument/2006/relationships/hyperlink" Target="https://drive.google.com/open?id=1bz5HwewKiaffuqKY2ZCSfRa3z5WcdSff" TargetMode="External"/><Relationship Id="rId24" Type="http://schemas.openxmlformats.org/officeDocument/2006/relationships/hyperlink" Target="https://drive.google.com/open?id=1w5Jhk-zyZtAGYQeeVL6ZFEG8sY620v5P" TargetMode="External"/><Relationship Id="rId5" Type="http://schemas.openxmlformats.org/officeDocument/2006/relationships/hyperlink" Target="https://drive.google.com/open?id=1BqQHLc8PmYDgwRyJjsW00l2nn-8_T-n0" TargetMode="External"/><Relationship Id="rId15" Type="http://schemas.openxmlformats.org/officeDocument/2006/relationships/hyperlink" Target="https://drive.google.com/open?id=1rR10QYLEqUWyZC34XV60mTIvTdxINKIJ" TargetMode="External"/><Relationship Id="rId23" Type="http://schemas.openxmlformats.org/officeDocument/2006/relationships/hyperlink" Target="https://drive.google.com/open?id=1Saqzr3SAkVJ-3AhN1NYwZzWdHTIDlQnQ" TargetMode="External"/><Relationship Id="rId28" Type="http://schemas.openxmlformats.org/officeDocument/2006/relationships/hyperlink" Target="https://drive.google.com/open?id=15Rn15QZwnxNanpY-fH21CmHOR5WF2I1P" TargetMode="External"/><Relationship Id="rId10" Type="http://schemas.openxmlformats.org/officeDocument/2006/relationships/hyperlink" Target="https://drive.google.com/open?id=1n3zrGugAUb_uXTO771-5j-7qO8UghKZI" TargetMode="External"/><Relationship Id="rId19" Type="http://schemas.openxmlformats.org/officeDocument/2006/relationships/hyperlink" Target="https://drive.google.com/open?id=1JB7XfDHgUHfSfXhIzhLIGCJvQl4-c7NH" TargetMode="External"/><Relationship Id="rId31" Type="http://schemas.openxmlformats.org/officeDocument/2006/relationships/hyperlink" Target="https://drive.google.com/open?id=15ykWeVu0eQ1F5vc4EUPIzZIxOmZkH6KJ" TargetMode="External"/><Relationship Id="rId4" Type="http://schemas.openxmlformats.org/officeDocument/2006/relationships/hyperlink" Target="https://drive.google.com/open?id=1nI1A3D4f56lflc7z2cc5vUhWkEbkbrXE" TargetMode="External"/><Relationship Id="rId9" Type="http://schemas.openxmlformats.org/officeDocument/2006/relationships/hyperlink" Target="https://drive.google.com/open?id=1u8qfDLZYSe5-5moRZOAz9x-voB6M1yjc" TargetMode="External"/><Relationship Id="rId14" Type="http://schemas.openxmlformats.org/officeDocument/2006/relationships/hyperlink" Target="https://drive.google.com/open?id=1DvoVGYTuoyyHc4VzY19uLETkupwB95Sl" TargetMode="External"/><Relationship Id="rId22" Type="http://schemas.openxmlformats.org/officeDocument/2006/relationships/hyperlink" Target="https://drive.google.com/open?id=1z2JAbbw0yu5cez5QYC63aX1TQKaW9Kjd" TargetMode="External"/><Relationship Id="rId27" Type="http://schemas.openxmlformats.org/officeDocument/2006/relationships/hyperlink" Target="https://drive.google.com/open?id=1bvbEHyrDA75aK62woioXgQtSVIwk99Jk" TargetMode="External"/><Relationship Id="rId30" Type="http://schemas.openxmlformats.org/officeDocument/2006/relationships/hyperlink" Target="https://drive.google.com/open?id=1y3VVMHIywx8h_quIcuRunZ6SN70zIt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59.5546875" customWidth="1"/>
    <col min="2" max="2" width="14" customWidth="1"/>
    <col min="3" max="3" width="18" customWidth="1"/>
    <col min="4" max="4" width="14" customWidth="1"/>
    <col min="5" max="5" width="12" customWidth="1"/>
    <col min="6" max="6" width="22" customWidth="1"/>
    <col min="7" max="7" width="24" customWidth="1"/>
    <col min="8" max="8" width="14" customWidth="1"/>
    <col min="9" max="9" width="16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173</v>
      </c>
      <c r="K1" s="1" t="s">
        <v>174</v>
      </c>
    </row>
    <row r="2" spans="1:11" x14ac:dyDescent="0.3">
      <c r="A2" s="2" t="s">
        <v>9</v>
      </c>
      <c r="B2" s="3">
        <v>46045</v>
      </c>
      <c r="C2" s="4">
        <v>59773.07</v>
      </c>
      <c r="D2" s="4">
        <v>146.68</v>
      </c>
      <c r="E2" s="4">
        <v>43.75</v>
      </c>
      <c r="F2" s="4">
        <v>341.12</v>
      </c>
      <c r="G2" s="4">
        <v>150.69</v>
      </c>
      <c r="H2" s="5">
        <v>5.7069178477866366E-3</v>
      </c>
      <c r="I2" s="5">
        <v>2.5210349744458501E-3</v>
      </c>
      <c r="J2" t="str">
        <f>VLOOKUP(A2,Sheet1!A$1:Z$18,3)</f>
        <v>stephane@prosperojus.com.br</v>
      </c>
      <c r="K2" t="str">
        <f>VLOOKUP(A2,Sheet1!A$1:AA$18,11,FALSE)</f>
        <v>Stephane Alberto Lopes</v>
      </c>
    </row>
    <row r="3" spans="1:11" x14ac:dyDescent="0.3">
      <c r="A3" s="2" t="s">
        <v>10</v>
      </c>
      <c r="B3" s="3">
        <v>46045</v>
      </c>
      <c r="C3" s="4">
        <v>59773.07</v>
      </c>
      <c r="D3" s="4">
        <v>146.68</v>
      </c>
      <c r="E3" s="4">
        <v>43.75</v>
      </c>
      <c r="F3" s="4">
        <v>341.12</v>
      </c>
      <c r="G3" s="4">
        <v>150.69</v>
      </c>
      <c r="H3" s="5">
        <v>5.7069178477866366E-3</v>
      </c>
      <c r="I3" s="5">
        <v>2.5210349744458501E-3</v>
      </c>
      <c r="J3" t="str">
        <f>VLOOKUP(A3,Sheet1!A$1:Z$18,3,)</f>
        <v>ivan.yuri31@gmail.com</v>
      </c>
      <c r="K3" t="str">
        <f>VLOOKUP(A3,Sheet1!A$1:AA$18,11,FALSE)</f>
        <v>Ivan Augusto Yuri Rodarte</v>
      </c>
    </row>
    <row r="4" spans="1:11" x14ac:dyDescent="0.3">
      <c r="A4" s="2" t="s">
        <v>11</v>
      </c>
      <c r="B4" s="3">
        <v>46045</v>
      </c>
      <c r="C4" s="4">
        <v>29886.53</v>
      </c>
      <c r="D4" s="4">
        <v>73.34</v>
      </c>
      <c r="E4" s="4">
        <v>21.88</v>
      </c>
      <c r="F4" s="4">
        <v>170.56</v>
      </c>
      <c r="G4" s="4">
        <v>75.34</v>
      </c>
      <c r="H4" s="5">
        <v>5.7069188025508479E-3</v>
      </c>
      <c r="I4" s="5">
        <v>2.520868096764663E-3</v>
      </c>
      <c r="J4" t="str">
        <f>VLOOKUP(A4,Sheet1!A$1:Z$18,3,)</f>
        <v>marcelo@mbsadv.com</v>
      </c>
      <c r="K4" t="str">
        <f>VLOOKUP(A4,Sheet1!A$1:AA$18,11,FALSE)</f>
        <v>Marcelo Godoy da Cunha Magalhaes</v>
      </c>
    </row>
    <row r="5" spans="1:11" x14ac:dyDescent="0.3">
      <c r="A5" s="2" t="s">
        <v>12</v>
      </c>
      <c r="B5" s="3">
        <v>46045</v>
      </c>
      <c r="C5" s="4">
        <v>29886.53</v>
      </c>
      <c r="D5" s="4">
        <v>73.34</v>
      </c>
      <c r="E5" s="4">
        <v>21.88</v>
      </c>
      <c r="F5" s="4">
        <v>170.56</v>
      </c>
      <c r="G5" s="4">
        <v>75.34</v>
      </c>
      <c r="H5" s="5">
        <v>5.7069188025508479E-3</v>
      </c>
      <c r="I5" s="5">
        <v>2.520868096764663E-3</v>
      </c>
      <c r="J5" t="str">
        <f>VLOOKUP(A5,Sheet1!A$1:Z$18,3,)</f>
        <v>claytoncampos76@gmail.com</v>
      </c>
      <c r="K5" t="str">
        <f>VLOOKUP(A5,Sheet1!A$1:AA$18,11,FALSE)</f>
        <v>Clayton de Camargo Campos</v>
      </c>
    </row>
    <row r="6" spans="1:11" x14ac:dyDescent="0.3">
      <c r="A6" s="2" t="s">
        <v>13</v>
      </c>
      <c r="B6" s="3">
        <v>46045</v>
      </c>
      <c r="C6" s="4">
        <v>29886.54</v>
      </c>
      <c r="D6" s="4">
        <v>73.34</v>
      </c>
      <c r="E6" s="4">
        <v>21.88</v>
      </c>
      <c r="F6" s="4">
        <v>170.56</v>
      </c>
      <c r="G6" s="4">
        <v>75.34</v>
      </c>
      <c r="H6" s="5">
        <v>5.7069168930227454E-3</v>
      </c>
      <c r="I6" s="5">
        <v>2.5208672532852582E-3</v>
      </c>
      <c r="J6" t="str">
        <f>VLOOKUP(A6,Sheet1!A$1:Z$18,3,)</f>
        <v>palmier@qmscapital.com.br</v>
      </c>
      <c r="K6" t="str">
        <f>VLOOKUP(A6,Sheet1!A$1:AA$18,11,FALSE)</f>
        <v>Andre Luiz da Fonseca Palmier Nunes</v>
      </c>
    </row>
    <row r="7" spans="1:11" x14ac:dyDescent="0.3">
      <c r="A7" s="2" t="s">
        <v>14</v>
      </c>
      <c r="B7" s="3">
        <v>46045</v>
      </c>
      <c r="C7" s="4">
        <v>29886.54</v>
      </c>
      <c r="D7" s="4">
        <v>73.34</v>
      </c>
      <c r="E7" s="4">
        <v>21.88</v>
      </c>
      <c r="F7" s="4">
        <v>170.56</v>
      </c>
      <c r="G7" s="4">
        <v>75.34</v>
      </c>
      <c r="H7" s="5">
        <v>5.7069168930227454E-3</v>
      </c>
      <c r="I7" s="5">
        <v>2.5208672532852582E-3</v>
      </c>
      <c r="J7" t="str">
        <f>VLOOKUP(A7,Sheet1!A$1:Z$18,3,)</f>
        <v>albitaly360@gmail.com</v>
      </c>
      <c r="K7" t="str">
        <f>VLOOKUP(A7,Sheet1!A$1:AA$18,11,FALSE)</f>
        <v>Nanci Szechtman Bannwart</v>
      </c>
    </row>
    <row r="8" spans="1:11" x14ac:dyDescent="0.3">
      <c r="A8" s="2" t="s">
        <v>15</v>
      </c>
      <c r="B8" s="3">
        <v>46045</v>
      </c>
      <c r="C8" s="4">
        <v>29886.54</v>
      </c>
      <c r="D8" s="4">
        <v>73.34</v>
      </c>
      <c r="E8" s="4">
        <v>21.87</v>
      </c>
      <c r="F8" s="4">
        <v>170.56</v>
      </c>
      <c r="G8" s="4">
        <v>75.34</v>
      </c>
      <c r="H8" s="5">
        <v>5.7069168930227454E-3</v>
      </c>
      <c r="I8" s="5">
        <v>2.5208672532852582E-3</v>
      </c>
      <c r="J8" t="e">
        <f>VLOOKUP(A8,Sheet1!A$1:Z$18,3,)</f>
        <v>#N/A</v>
      </c>
      <c r="K8" t="e">
        <f>VLOOKUP(A8,Sheet1!A$1:AA$18,11,FALSE)</f>
        <v>#N/A</v>
      </c>
    </row>
    <row r="9" spans="1:11" x14ac:dyDescent="0.3">
      <c r="A9" s="2" t="s">
        <v>16</v>
      </c>
      <c r="B9" s="3">
        <v>46045</v>
      </c>
      <c r="C9" s="4">
        <v>29886.54</v>
      </c>
      <c r="D9" s="4">
        <v>73.34</v>
      </c>
      <c r="E9" s="4">
        <v>21.87</v>
      </c>
      <c r="F9" s="4">
        <v>170.56</v>
      </c>
      <c r="G9" s="4">
        <v>75.349999999999994</v>
      </c>
      <c r="H9" s="5">
        <v>5.7069168930227454E-3</v>
      </c>
      <c r="I9" s="5">
        <v>2.5212018520711999E-3</v>
      </c>
      <c r="J9" t="e">
        <f>VLOOKUP(A9,Sheet1!A$1:Z$18,3,)</f>
        <v>#N/A</v>
      </c>
      <c r="K9" t="e">
        <f>VLOOKUP(A9,Sheet1!A$1:AA$18,11,FALSE)</f>
        <v>#N/A</v>
      </c>
    </row>
    <row r="10" spans="1:11" x14ac:dyDescent="0.3">
      <c r="A10" s="2" t="s">
        <v>17</v>
      </c>
      <c r="B10" s="3">
        <v>46045</v>
      </c>
      <c r="C10" s="4">
        <v>29886.54</v>
      </c>
      <c r="D10" s="4">
        <v>73.34</v>
      </c>
      <c r="E10" s="4">
        <v>21.87</v>
      </c>
      <c r="F10" s="4">
        <v>170.56</v>
      </c>
      <c r="G10" s="4">
        <v>75.349999999999994</v>
      </c>
      <c r="H10" s="5">
        <v>5.7069168930227454E-3</v>
      </c>
      <c r="I10" s="5">
        <v>2.5212018520711999E-3</v>
      </c>
      <c r="J10" t="str">
        <f>VLOOKUP(A10,Sheet1!A$1:Z$18,3,)</f>
        <v>pedromarinhonunes63@gmail.com</v>
      </c>
      <c r="K10" t="str">
        <f>VLOOKUP(A10,Sheet1!A$1:AA$18,11,FALSE)</f>
        <v>Pedro Rezende Marinho Nunes</v>
      </c>
    </row>
    <row r="11" spans="1:11" x14ac:dyDescent="0.3">
      <c r="A11" s="2" t="s">
        <v>18</v>
      </c>
      <c r="B11" s="3">
        <v>46045</v>
      </c>
      <c r="C11" s="4">
        <v>29886.54</v>
      </c>
      <c r="D11" s="4">
        <v>73.34</v>
      </c>
      <c r="E11" s="4">
        <v>21.87</v>
      </c>
      <c r="F11" s="4">
        <v>170.56</v>
      </c>
      <c r="G11" s="4">
        <v>75.349999999999994</v>
      </c>
      <c r="H11" s="5">
        <v>5.7069168930227454E-3</v>
      </c>
      <c r="I11" s="5">
        <v>2.5212018520711999E-3</v>
      </c>
      <c r="J11" t="str">
        <f>VLOOKUP(A11,Sheet1!A$1:Z$18,3,)</f>
        <v>dhcohn18@gmail.com</v>
      </c>
      <c r="K11" t="str">
        <f>VLOOKUP(A11,Sheet1!A$1:AA$18,11,FALSE)</f>
        <v>Daniel Henrique Cohn</v>
      </c>
    </row>
    <row r="12" spans="1:11" x14ac:dyDescent="0.3">
      <c r="A12" s="2" t="s">
        <v>19</v>
      </c>
      <c r="B12" s="3">
        <v>46045</v>
      </c>
      <c r="C12" s="4">
        <v>29886.54</v>
      </c>
      <c r="D12" s="4">
        <v>73.34</v>
      </c>
      <c r="E12" s="4">
        <v>21.87</v>
      </c>
      <c r="F12" s="4">
        <v>170.56</v>
      </c>
      <c r="G12" s="4">
        <v>75.349999999999994</v>
      </c>
      <c r="H12" s="5">
        <v>5.7069168930227454E-3</v>
      </c>
      <c r="I12" s="5">
        <v>2.5212018520711999E-3</v>
      </c>
      <c r="J12" t="str">
        <f>VLOOKUP(A12,Sheet1!A$1:Z$18,3,)</f>
        <v>ygormunhoz1@gmail.com</v>
      </c>
      <c r="K12" t="str">
        <f>VLOOKUP(A12,Sheet1!A$1:AA$18,11,FALSE)</f>
        <v>Ygor Bernardo Munhoz</v>
      </c>
    </row>
    <row r="13" spans="1:11" x14ac:dyDescent="0.3">
      <c r="A13" s="2" t="s">
        <v>20</v>
      </c>
      <c r="B13" s="3">
        <v>46045</v>
      </c>
      <c r="C13" s="4">
        <v>29886.54</v>
      </c>
      <c r="D13" s="4">
        <v>73.34</v>
      </c>
      <c r="E13" s="4">
        <v>21.87</v>
      </c>
      <c r="F13" s="4">
        <v>170.56</v>
      </c>
      <c r="G13" s="4">
        <v>75.349999999999994</v>
      </c>
      <c r="H13" s="5">
        <v>5.7069168930227454E-3</v>
      </c>
      <c r="I13" s="5">
        <v>2.5212018520711999E-3</v>
      </c>
      <c r="J13" t="str">
        <f>VLOOKUP(A13,Sheet1!A$1:Z$18,3,)</f>
        <v>maurobergstein@gmail.com</v>
      </c>
      <c r="K13" t="str">
        <f>VLOOKUP(A13,Sheet1!A$1:AA$18,11,FALSE)</f>
        <v>Mauro Bergstein</v>
      </c>
    </row>
    <row r="14" spans="1:11" x14ac:dyDescent="0.3">
      <c r="A14" s="2" t="s">
        <v>21</v>
      </c>
      <c r="B14" s="3">
        <v>46045</v>
      </c>
      <c r="C14" s="4">
        <v>1245.27</v>
      </c>
      <c r="D14" s="4">
        <v>3.06</v>
      </c>
      <c r="E14" s="4">
        <v>0.91</v>
      </c>
      <c r="F14" s="4">
        <v>7.1</v>
      </c>
      <c r="G14" s="4">
        <v>3.14</v>
      </c>
      <c r="H14" s="5">
        <v>5.7015747588876307E-3</v>
      </c>
      <c r="I14" s="5">
        <v>2.521541513085515E-3</v>
      </c>
      <c r="J14" t="e">
        <f>VLOOKUP(A14,Sheet1!A$1:Z$18,3,)</f>
        <v>#N/A</v>
      </c>
      <c r="K14" t="e">
        <f>VLOOKUP(A14,Sheet1!A$1:AA$18,11,FALSE)</f>
        <v>#N/A</v>
      </c>
    </row>
    <row r="15" spans="1:11" x14ac:dyDescent="0.3">
      <c r="A15" s="2" t="s">
        <v>22</v>
      </c>
      <c r="B15" s="3">
        <v>46052</v>
      </c>
      <c r="C15" s="4">
        <v>256148.18</v>
      </c>
      <c r="D15" s="4">
        <v>496.89</v>
      </c>
      <c r="E15" s="4">
        <v>57.6</v>
      </c>
      <c r="F15" s="4">
        <v>752.87</v>
      </c>
      <c r="G15" s="4">
        <v>198.38</v>
      </c>
      <c r="H15" s="5">
        <v>2.9391971475260922E-3</v>
      </c>
      <c r="I15" s="5">
        <v>7.7447358790525076E-4</v>
      </c>
      <c r="J15" t="str">
        <f>VLOOKUP(A15,Sheet1!A$1:Z$18,3,)</f>
        <v>alexandreacp@gmail.com</v>
      </c>
      <c r="K15" t="s">
        <v>175</v>
      </c>
    </row>
    <row r="17" spans="7:7" x14ac:dyDescent="0.3">
      <c r="G17" s="6"/>
    </row>
  </sheetData>
  <autoFilter ref="A1:I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5FDB-EF7E-4EAE-829C-435692B62B91}">
  <dimension ref="A1:Z18"/>
  <sheetViews>
    <sheetView topLeftCell="A18" workbookViewId="0">
      <selection activeCell="H18" sqref="H18"/>
    </sheetView>
  </sheetViews>
  <sheetFormatPr defaultRowHeight="14.4" x14ac:dyDescent="0.3"/>
  <cols>
    <col min="2" max="2" width="16.88671875" bestFit="1" customWidth="1"/>
    <col min="4" max="4" width="8.6640625" bestFit="1" customWidth="1"/>
    <col min="5" max="5" width="8.33203125" bestFit="1" customWidth="1"/>
    <col min="7" max="7" width="8.77734375" bestFit="1" customWidth="1"/>
    <col min="9" max="9" width="9.21875" bestFit="1" customWidth="1"/>
    <col min="12" max="12" width="13.33203125" bestFit="1" customWidth="1"/>
    <col min="13" max="13" width="11.44140625" bestFit="1" customWidth="1"/>
    <col min="15" max="15" width="9.21875" bestFit="1" customWidth="1"/>
    <col min="18" max="18" width="10.6640625" bestFit="1" customWidth="1"/>
    <col min="19" max="19" width="9.5546875" bestFit="1" customWidth="1"/>
    <col min="20" max="20" width="8.33203125" bestFit="1" customWidth="1"/>
    <col min="23" max="23" width="9.77734375" bestFit="1" customWidth="1"/>
    <col min="24" max="25" width="8.6640625" bestFit="1" customWidth="1"/>
    <col min="26" max="26" width="8.44140625" bestFit="1" customWidth="1"/>
  </cols>
  <sheetData>
    <row r="1" spans="1:26" ht="119.4" thickBot="1" x14ac:dyDescent="0.35">
      <c r="A1" s="8" t="s">
        <v>43</v>
      </c>
      <c r="B1" s="7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44</v>
      </c>
      <c r="X1" s="8" t="s">
        <v>45</v>
      </c>
      <c r="Y1" s="8" t="s">
        <v>46</v>
      </c>
      <c r="Z1" s="9" t="s">
        <v>47</v>
      </c>
    </row>
    <row r="2" spans="1:26" ht="145.80000000000001" thickBot="1" x14ac:dyDescent="0.35">
      <c r="A2" s="11" t="s">
        <v>9</v>
      </c>
      <c r="B2" s="10">
        <v>46042.494305555556</v>
      </c>
      <c r="C2" s="11" t="s">
        <v>48</v>
      </c>
      <c r="D2" s="11" t="s">
        <v>49</v>
      </c>
      <c r="E2" s="11" t="s">
        <v>50</v>
      </c>
      <c r="F2" s="12"/>
      <c r="G2" s="12"/>
      <c r="H2" s="12"/>
      <c r="I2" s="12"/>
      <c r="J2" s="12"/>
      <c r="K2" s="11" t="s">
        <v>51</v>
      </c>
      <c r="L2" s="13">
        <v>23447327804</v>
      </c>
      <c r="M2" s="14">
        <v>27953</v>
      </c>
      <c r="N2" s="11" t="s">
        <v>52</v>
      </c>
      <c r="O2" s="11" t="s">
        <v>53</v>
      </c>
      <c r="P2" s="15" t="s">
        <v>54</v>
      </c>
      <c r="Q2" s="15" t="s">
        <v>55</v>
      </c>
      <c r="R2" s="13">
        <v>350000</v>
      </c>
      <c r="S2" s="13">
        <v>60000</v>
      </c>
      <c r="T2" s="11" t="s">
        <v>56</v>
      </c>
      <c r="U2" s="11" t="s">
        <v>57</v>
      </c>
      <c r="V2" s="11" t="s">
        <v>9</v>
      </c>
      <c r="W2" s="11" t="s">
        <v>58</v>
      </c>
      <c r="X2" s="11" t="s">
        <v>59</v>
      </c>
      <c r="Y2" s="11" t="s">
        <v>60</v>
      </c>
      <c r="Z2" s="16" t="s">
        <v>60</v>
      </c>
    </row>
    <row r="3" spans="1:26" ht="216.6" thickBot="1" x14ac:dyDescent="0.35">
      <c r="A3" s="18" t="s">
        <v>14</v>
      </c>
      <c r="B3" s="17">
        <v>46042.684999999998</v>
      </c>
      <c r="C3" s="18" t="s">
        <v>61</v>
      </c>
      <c r="D3" s="18" t="s">
        <v>49</v>
      </c>
      <c r="E3" s="18" t="s">
        <v>50</v>
      </c>
      <c r="F3" s="19"/>
      <c r="G3" s="19"/>
      <c r="H3" s="19"/>
      <c r="I3" s="19"/>
      <c r="J3" s="19"/>
      <c r="K3" s="18" t="s">
        <v>62</v>
      </c>
      <c r="L3" s="20">
        <v>25481857880</v>
      </c>
      <c r="M3" s="21">
        <v>27169</v>
      </c>
      <c r="N3" s="18" t="s">
        <v>63</v>
      </c>
      <c r="O3" s="18" t="s">
        <v>64</v>
      </c>
      <c r="P3" s="22" t="s">
        <v>65</v>
      </c>
      <c r="Q3" s="22" t="s">
        <v>66</v>
      </c>
      <c r="R3" s="20">
        <v>150000</v>
      </c>
      <c r="S3" s="20">
        <v>50000</v>
      </c>
      <c r="T3" s="18" t="s">
        <v>56</v>
      </c>
      <c r="U3" s="18" t="s">
        <v>67</v>
      </c>
      <c r="V3" s="18" t="s">
        <v>14</v>
      </c>
      <c r="W3" s="18" t="s">
        <v>58</v>
      </c>
      <c r="X3" s="18" t="s">
        <v>59</v>
      </c>
      <c r="Y3" s="18" t="s">
        <v>60</v>
      </c>
      <c r="Z3" s="23" t="s">
        <v>60</v>
      </c>
    </row>
    <row r="4" spans="1:26" ht="130.19999999999999" thickBot="1" x14ac:dyDescent="0.35">
      <c r="A4" s="11" t="s">
        <v>11</v>
      </c>
      <c r="B4" s="10">
        <v>46042.686736111114</v>
      </c>
      <c r="C4" s="11" t="s">
        <v>68</v>
      </c>
      <c r="D4" s="11" t="s">
        <v>49</v>
      </c>
      <c r="E4" s="11" t="s">
        <v>50</v>
      </c>
      <c r="F4" s="12"/>
      <c r="G4" s="12"/>
      <c r="H4" s="12"/>
      <c r="I4" s="12"/>
      <c r="J4" s="12"/>
      <c r="K4" s="11" t="s">
        <v>69</v>
      </c>
      <c r="L4" s="13">
        <v>30516176870</v>
      </c>
      <c r="M4" s="14">
        <v>29987</v>
      </c>
      <c r="N4" s="11" t="s">
        <v>70</v>
      </c>
      <c r="O4" s="11" t="s">
        <v>71</v>
      </c>
      <c r="P4" s="15" t="s">
        <v>72</v>
      </c>
      <c r="Q4" s="15" t="s">
        <v>73</v>
      </c>
      <c r="R4" s="13">
        <v>150000</v>
      </c>
      <c r="S4" s="24">
        <v>50000</v>
      </c>
      <c r="T4" s="11" t="s">
        <v>56</v>
      </c>
      <c r="U4" s="11" t="s">
        <v>74</v>
      </c>
      <c r="V4" s="11" t="s">
        <v>11</v>
      </c>
      <c r="W4" s="11" t="s">
        <v>75</v>
      </c>
      <c r="X4" s="11" t="s">
        <v>59</v>
      </c>
      <c r="Y4" s="11" t="s">
        <v>60</v>
      </c>
      <c r="Z4" s="16" t="s">
        <v>60</v>
      </c>
    </row>
    <row r="5" spans="1:26" ht="130.19999999999999" thickBot="1" x14ac:dyDescent="0.35">
      <c r="A5" s="18" t="s">
        <v>10</v>
      </c>
      <c r="B5" s="17">
        <v>46042.688854166663</v>
      </c>
      <c r="C5" s="18" t="s">
        <v>76</v>
      </c>
      <c r="D5" s="18" t="s">
        <v>49</v>
      </c>
      <c r="E5" s="18" t="s">
        <v>50</v>
      </c>
      <c r="F5" s="19"/>
      <c r="G5" s="19"/>
      <c r="H5" s="19"/>
      <c r="I5" s="19"/>
      <c r="J5" s="19"/>
      <c r="K5" s="18" t="s">
        <v>77</v>
      </c>
      <c r="L5" s="20">
        <v>36693487866</v>
      </c>
      <c r="M5" s="21">
        <v>32608</v>
      </c>
      <c r="N5" s="18" t="s">
        <v>70</v>
      </c>
      <c r="O5" s="18">
        <v>4532082</v>
      </c>
      <c r="P5" s="22" t="s">
        <v>78</v>
      </c>
      <c r="Q5" s="22" t="s">
        <v>79</v>
      </c>
      <c r="R5" s="20">
        <v>90000</v>
      </c>
      <c r="S5" s="20">
        <v>30000</v>
      </c>
      <c r="T5" s="18" t="s">
        <v>56</v>
      </c>
      <c r="U5" s="18" t="s">
        <v>80</v>
      </c>
      <c r="V5" s="18" t="s">
        <v>10</v>
      </c>
      <c r="W5" s="18" t="s">
        <v>58</v>
      </c>
      <c r="X5" s="18" t="s">
        <v>59</v>
      </c>
      <c r="Y5" s="18" t="s">
        <v>60</v>
      </c>
      <c r="Z5" s="23" t="s">
        <v>60</v>
      </c>
    </row>
    <row r="6" spans="1:26" ht="144.6" thickBot="1" x14ac:dyDescent="0.35">
      <c r="A6" s="11" t="s">
        <v>12</v>
      </c>
      <c r="B6" s="10">
        <v>46043.495659722219</v>
      </c>
      <c r="C6" s="11" t="s">
        <v>81</v>
      </c>
      <c r="D6" s="11" t="s">
        <v>49</v>
      </c>
      <c r="E6" s="11" t="s">
        <v>50</v>
      </c>
      <c r="F6" s="12"/>
      <c r="G6" s="12"/>
      <c r="H6" s="12"/>
      <c r="I6" s="12"/>
      <c r="J6" s="12"/>
      <c r="K6" s="11" t="s">
        <v>82</v>
      </c>
      <c r="L6" s="13">
        <v>25025335892</v>
      </c>
      <c r="M6" s="14">
        <v>27855</v>
      </c>
      <c r="N6" s="11" t="s">
        <v>63</v>
      </c>
      <c r="O6" s="11" t="s">
        <v>83</v>
      </c>
      <c r="P6" s="15" t="s">
        <v>84</v>
      </c>
      <c r="Q6" s="15" t="s">
        <v>85</v>
      </c>
      <c r="R6" s="13">
        <v>50000</v>
      </c>
      <c r="S6" s="13">
        <v>20000</v>
      </c>
      <c r="T6" s="11" t="s">
        <v>56</v>
      </c>
      <c r="U6" s="11" t="s">
        <v>86</v>
      </c>
      <c r="V6" s="11" t="s">
        <v>12</v>
      </c>
      <c r="W6" s="11" t="s">
        <v>58</v>
      </c>
      <c r="X6" s="11" t="s">
        <v>59</v>
      </c>
      <c r="Y6" s="11" t="s">
        <v>60</v>
      </c>
      <c r="Z6" s="16" t="s">
        <v>60</v>
      </c>
    </row>
    <row r="7" spans="1:26" ht="53.4" thickBot="1" x14ac:dyDescent="0.35">
      <c r="A7" s="19"/>
      <c r="B7" s="17">
        <v>46043.802731481483</v>
      </c>
      <c r="C7" s="18" t="s">
        <v>87</v>
      </c>
      <c r="D7" s="18" t="s">
        <v>88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5"/>
    </row>
    <row r="8" spans="1:26" ht="130.19999999999999" thickBot="1" x14ac:dyDescent="0.35">
      <c r="A8" s="27" t="s">
        <v>13</v>
      </c>
      <c r="B8" s="26">
        <v>46043.811435185184</v>
      </c>
      <c r="C8" s="27" t="s">
        <v>89</v>
      </c>
      <c r="D8" s="27" t="s">
        <v>49</v>
      </c>
      <c r="E8" s="27" t="s">
        <v>50</v>
      </c>
      <c r="F8" s="28"/>
      <c r="G8" s="28"/>
      <c r="H8" s="28"/>
      <c r="I8" s="28"/>
      <c r="J8" s="28"/>
      <c r="K8" s="27" t="s">
        <v>90</v>
      </c>
      <c r="L8" s="29">
        <v>86356666749</v>
      </c>
      <c r="M8" s="30">
        <v>24300</v>
      </c>
      <c r="N8" s="27" t="s">
        <v>70</v>
      </c>
      <c r="O8" s="27" t="s">
        <v>91</v>
      </c>
      <c r="P8" s="31" t="s">
        <v>92</v>
      </c>
      <c r="Q8" s="31" t="s">
        <v>93</v>
      </c>
      <c r="R8" s="29">
        <v>200000</v>
      </c>
      <c r="S8" s="29">
        <v>1</v>
      </c>
      <c r="T8" s="27" t="s">
        <v>56</v>
      </c>
      <c r="U8" s="27" t="s">
        <v>94</v>
      </c>
      <c r="V8" s="27" t="s">
        <v>13</v>
      </c>
      <c r="W8" s="27" t="s">
        <v>75</v>
      </c>
      <c r="X8" s="27" t="s">
        <v>59</v>
      </c>
      <c r="Y8" s="27" t="s">
        <v>60</v>
      </c>
      <c r="Z8" s="32" t="s">
        <v>60</v>
      </c>
    </row>
    <row r="9" spans="1:26" ht="132.6" thickBot="1" x14ac:dyDescent="0.35">
      <c r="A9" s="34" t="s">
        <v>102</v>
      </c>
      <c r="B9" s="33">
        <v>46043.816446759258</v>
      </c>
      <c r="C9" s="34" t="s">
        <v>95</v>
      </c>
      <c r="D9" s="34" t="s">
        <v>49</v>
      </c>
      <c r="E9" s="34" t="s">
        <v>50</v>
      </c>
      <c r="F9" s="35"/>
      <c r="G9" s="35"/>
      <c r="H9" s="35"/>
      <c r="I9" s="35"/>
      <c r="J9" s="35"/>
      <c r="K9" s="34" t="s">
        <v>96</v>
      </c>
      <c r="L9" s="36">
        <v>15156683800</v>
      </c>
      <c r="M9" s="37">
        <v>25641</v>
      </c>
      <c r="N9" s="34" t="s">
        <v>97</v>
      </c>
      <c r="O9" s="34" t="s">
        <v>98</v>
      </c>
      <c r="P9" s="38" t="s">
        <v>99</v>
      </c>
      <c r="Q9" s="38" t="s">
        <v>100</v>
      </c>
      <c r="R9" s="36">
        <v>100000</v>
      </c>
      <c r="S9" s="36">
        <v>50000</v>
      </c>
      <c r="T9" s="34" t="s">
        <v>56</v>
      </c>
      <c r="U9" s="34" t="s">
        <v>101</v>
      </c>
      <c r="V9" s="34" t="s">
        <v>102</v>
      </c>
      <c r="W9" s="34" t="s">
        <v>103</v>
      </c>
      <c r="X9" s="34" t="s">
        <v>59</v>
      </c>
      <c r="Y9" s="35"/>
      <c r="Z9" s="39" t="s">
        <v>60</v>
      </c>
    </row>
    <row r="10" spans="1:26" ht="159" thickBot="1" x14ac:dyDescent="0.35">
      <c r="A10" s="11" t="s">
        <v>18</v>
      </c>
      <c r="B10" s="10">
        <v>46045.432453703703</v>
      </c>
      <c r="C10" s="11" t="s">
        <v>104</v>
      </c>
      <c r="D10" s="11" t="s">
        <v>49</v>
      </c>
      <c r="E10" s="11" t="s">
        <v>50</v>
      </c>
      <c r="F10" s="12"/>
      <c r="G10" s="12"/>
      <c r="H10" s="12"/>
      <c r="I10" s="12"/>
      <c r="J10" s="12"/>
      <c r="K10" s="11" t="s">
        <v>105</v>
      </c>
      <c r="L10" s="13">
        <v>15362211803</v>
      </c>
      <c r="M10" s="14">
        <v>25469</v>
      </c>
      <c r="N10" s="11" t="s">
        <v>63</v>
      </c>
      <c r="O10" s="11" t="s">
        <v>106</v>
      </c>
      <c r="P10" s="15" t="s">
        <v>107</v>
      </c>
      <c r="Q10" s="15" t="s">
        <v>108</v>
      </c>
      <c r="R10" s="13">
        <v>100000</v>
      </c>
      <c r="S10" s="13">
        <v>30000</v>
      </c>
      <c r="T10" s="11" t="s">
        <v>56</v>
      </c>
      <c r="U10" s="11" t="s">
        <v>109</v>
      </c>
      <c r="V10" s="11" t="s">
        <v>18</v>
      </c>
      <c r="W10" s="11" t="s">
        <v>75</v>
      </c>
      <c r="X10" s="11" t="s">
        <v>59</v>
      </c>
      <c r="Y10" s="12"/>
      <c r="Z10" s="16" t="s">
        <v>60</v>
      </c>
    </row>
    <row r="11" spans="1:26" ht="130.19999999999999" thickBot="1" x14ac:dyDescent="0.35">
      <c r="A11" s="18" t="s">
        <v>117</v>
      </c>
      <c r="B11" s="17">
        <v>46045.692372685182</v>
      </c>
      <c r="C11" s="18" t="s">
        <v>110</v>
      </c>
      <c r="D11" s="18" t="s">
        <v>49</v>
      </c>
      <c r="E11" s="18" t="s">
        <v>50</v>
      </c>
      <c r="F11" s="19"/>
      <c r="G11" s="19"/>
      <c r="H11" s="19"/>
      <c r="I11" s="19"/>
      <c r="J11" s="19"/>
      <c r="K11" s="18" t="s">
        <v>111</v>
      </c>
      <c r="L11" s="18" t="s">
        <v>112</v>
      </c>
      <c r="M11" s="21">
        <v>28129</v>
      </c>
      <c r="N11" s="18" t="s">
        <v>70</v>
      </c>
      <c r="O11" s="18" t="s">
        <v>113</v>
      </c>
      <c r="P11" s="22" t="s">
        <v>114</v>
      </c>
      <c r="Q11" s="22" t="s">
        <v>115</v>
      </c>
      <c r="R11" s="40">
        <v>140000</v>
      </c>
      <c r="S11" s="20">
        <v>1</v>
      </c>
      <c r="T11" s="18" t="s">
        <v>56</v>
      </c>
      <c r="U11" s="18" t="s">
        <v>116</v>
      </c>
      <c r="V11" s="18" t="s">
        <v>117</v>
      </c>
      <c r="W11" s="18" t="s">
        <v>75</v>
      </c>
      <c r="X11" s="18" t="s">
        <v>59</v>
      </c>
      <c r="Y11" s="19"/>
      <c r="Z11" s="23" t="s">
        <v>60</v>
      </c>
    </row>
    <row r="12" spans="1:26" ht="130.19999999999999" thickBot="1" x14ac:dyDescent="0.35">
      <c r="A12" s="11" t="s">
        <v>126</v>
      </c>
      <c r="B12" s="10">
        <v>46048.544120370374</v>
      </c>
      <c r="C12" s="11" t="s">
        <v>118</v>
      </c>
      <c r="D12" s="11" t="s">
        <v>49</v>
      </c>
      <c r="E12" s="11" t="s">
        <v>50</v>
      </c>
      <c r="F12" s="12"/>
      <c r="G12" s="12"/>
      <c r="H12" s="12"/>
      <c r="I12" s="12"/>
      <c r="J12" s="12"/>
      <c r="K12" s="11" t="s">
        <v>119</v>
      </c>
      <c r="L12" s="11" t="s">
        <v>120</v>
      </c>
      <c r="M12" s="14">
        <v>23458</v>
      </c>
      <c r="N12" s="11" t="s">
        <v>121</v>
      </c>
      <c r="O12" s="11" t="s">
        <v>122</v>
      </c>
      <c r="P12" s="15" t="s">
        <v>123</v>
      </c>
      <c r="Q12" s="15" t="s">
        <v>124</v>
      </c>
      <c r="R12" s="13">
        <v>300000</v>
      </c>
      <c r="S12" s="13">
        <v>1</v>
      </c>
      <c r="T12" s="11" t="s">
        <v>56</v>
      </c>
      <c r="U12" s="11" t="s">
        <v>125</v>
      </c>
      <c r="V12" s="11" t="s">
        <v>126</v>
      </c>
      <c r="W12" s="11" t="s">
        <v>58</v>
      </c>
      <c r="X12" s="11" t="s">
        <v>59</v>
      </c>
      <c r="Y12" s="12"/>
      <c r="Z12" s="16" t="s">
        <v>60</v>
      </c>
    </row>
    <row r="13" spans="1:26" ht="130.19999999999999" thickBot="1" x14ac:dyDescent="0.35">
      <c r="A13" s="18" t="s">
        <v>20</v>
      </c>
      <c r="B13" s="17">
        <v>46048.925046296295</v>
      </c>
      <c r="C13" s="18" t="s">
        <v>127</v>
      </c>
      <c r="D13" s="18" t="s">
        <v>49</v>
      </c>
      <c r="E13" s="18" t="s">
        <v>50</v>
      </c>
      <c r="F13" s="19"/>
      <c r="G13" s="19"/>
      <c r="H13" s="19"/>
      <c r="I13" s="19"/>
      <c r="J13" s="19"/>
      <c r="K13" s="18" t="s">
        <v>128</v>
      </c>
      <c r="L13" s="20">
        <v>92637434791</v>
      </c>
      <c r="M13" s="21">
        <v>24815</v>
      </c>
      <c r="N13" s="18" t="s">
        <v>129</v>
      </c>
      <c r="O13" s="18" t="s">
        <v>130</v>
      </c>
      <c r="P13" s="22" t="s">
        <v>131</v>
      </c>
      <c r="Q13" s="22" t="s">
        <v>132</v>
      </c>
      <c r="R13" s="20">
        <v>40000</v>
      </c>
      <c r="S13" s="20">
        <v>5000</v>
      </c>
      <c r="T13" s="18" t="s">
        <v>56</v>
      </c>
      <c r="U13" s="18" t="s">
        <v>133</v>
      </c>
      <c r="V13" s="18" t="s">
        <v>20</v>
      </c>
      <c r="W13" s="18" t="s">
        <v>75</v>
      </c>
      <c r="X13" s="18" t="s">
        <v>59</v>
      </c>
      <c r="Y13" s="19"/>
      <c r="Z13" s="23" t="s">
        <v>60</v>
      </c>
    </row>
    <row r="14" spans="1:26" ht="132.6" thickBot="1" x14ac:dyDescent="0.35">
      <c r="A14" s="11" t="s">
        <v>141</v>
      </c>
      <c r="B14" s="10">
        <v>46049.428680555553</v>
      </c>
      <c r="C14" s="11" t="s">
        <v>134</v>
      </c>
      <c r="D14" s="11" t="s">
        <v>49</v>
      </c>
      <c r="E14" s="11" t="s">
        <v>50</v>
      </c>
      <c r="F14" s="12"/>
      <c r="G14" s="12"/>
      <c r="H14" s="12"/>
      <c r="I14" s="12"/>
      <c r="J14" s="12"/>
      <c r="K14" s="11" t="s">
        <v>135</v>
      </c>
      <c r="L14" s="13">
        <v>83871543853</v>
      </c>
      <c r="M14" s="14">
        <v>23006</v>
      </c>
      <c r="N14" s="11" t="s">
        <v>63</v>
      </c>
      <c r="O14" s="11" t="s">
        <v>136</v>
      </c>
      <c r="P14" s="15" t="s">
        <v>137</v>
      </c>
      <c r="Q14" s="15" t="s">
        <v>138</v>
      </c>
      <c r="R14" s="24">
        <v>100000</v>
      </c>
      <c r="S14" s="11" t="s">
        <v>139</v>
      </c>
      <c r="T14" s="11" t="s">
        <v>56</v>
      </c>
      <c r="U14" s="11" t="s">
        <v>140</v>
      </c>
      <c r="V14" s="11" t="s">
        <v>141</v>
      </c>
      <c r="W14" s="11" t="s">
        <v>103</v>
      </c>
      <c r="X14" s="11" t="s">
        <v>59</v>
      </c>
      <c r="Y14" s="12"/>
      <c r="Z14" s="16" t="s">
        <v>60</v>
      </c>
    </row>
    <row r="15" spans="1:26" ht="132.6" thickBot="1" x14ac:dyDescent="0.35">
      <c r="A15" s="18" t="s">
        <v>17</v>
      </c>
      <c r="B15" s="17">
        <v>46049.787604166668</v>
      </c>
      <c r="C15" s="18" t="s">
        <v>87</v>
      </c>
      <c r="D15" s="18" t="s">
        <v>49</v>
      </c>
      <c r="E15" s="18" t="s">
        <v>50</v>
      </c>
      <c r="F15" s="19"/>
      <c r="G15" s="19"/>
      <c r="H15" s="19"/>
      <c r="I15" s="19"/>
      <c r="J15" s="19"/>
      <c r="K15" s="18" t="s">
        <v>142</v>
      </c>
      <c r="L15" s="20">
        <v>89331214715</v>
      </c>
      <c r="M15" s="21">
        <v>23127</v>
      </c>
      <c r="N15" s="18" t="s">
        <v>97</v>
      </c>
      <c r="O15" s="18" t="s">
        <v>143</v>
      </c>
      <c r="P15" s="22" t="s">
        <v>144</v>
      </c>
      <c r="Q15" s="22" t="s">
        <v>145</v>
      </c>
      <c r="R15" s="40">
        <v>300000</v>
      </c>
      <c r="S15" s="40">
        <v>20000</v>
      </c>
      <c r="T15" s="18" t="s">
        <v>56</v>
      </c>
      <c r="U15" s="18" t="s">
        <v>146</v>
      </c>
      <c r="V15" s="18" t="s">
        <v>17</v>
      </c>
      <c r="W15" s="18" t="s">
        <v>103</v>
      </c>
      <c r="X15" s="18" t="s">
        <v>59</v>
      </c>
      <c r="Y15" s="19"/>
      <c r="Z15" s="23" t="s">
        <v>60</v>
      </c>
    </row>
    <row r="16" spans="1:26" ht="144.6" thickBot="1" x14ac:dyDescent="0.35">
      <c r="A16" s="11" t="s">
        <v>19</v>
      </c>
      <c r="B16" s="10">
        <v>46050.70516203704</v>
      </c>
      <c r="C16" s="11" t="s">
        <v>147</v>
      </c>
      <c r="D16" s="11" t="s">
        <v>49</v>
      </c>
      <c r="E16" s="11" t="s">
        <v>50</v>
      </c>
      <c r="F16" s="12"/>
      <c r="G16" s="12"/>
      <c r="H16" s="12"/>
      <c r="I16" s="12"/>
      <c r="J16" s="12"/>
      <c r="K16" s="11" t="s">
        <v>148</v>
      </c>
      <c r="L16" s="13">
        <v>36866198810</v>
      </c>
      <c r="M16" s="14">
        <v>31930</v>
      </c>
      <c r="N16" s="11" t="s">
        <v>70</v>
      </c>
      <c r="O16" s="11" t="s">
        <v>149</v>
      </c>
      <c r="P16" s="15" t="s">
        <v>150</v>
      </c>
      <c r="Q16" s="15" t="s">
        <v>151</v>
      </c>
      <c r="R16" s="13">
        <v>300000</v>
      </c>
      <c r="S16" s="13">
        <v>60000</v>
      </c>
      <c r="T16" s="11" t="s">
        <v>56</v>
      </c>
      <c r="U16" s="11" t="s">
        <v>152</v>
      </c>
      <c r="V16" s="11" t="s">
        <v>19</v>
      </c>
      <c r="W16" s="11" t="s">
        <v>103</v>
      </c>
      <c r="X16" s="11" t="s">
        <v>59</v>
      </c>
      <c r="Y16" s="12"/>
      <c r="Z16" s="16" t="s">
        <v>60</v>
      </c>
    </row>
    <row r="17" spans="1:26" ht="304.2" thickBot="1" x14ac:dyDescent="0.35">
      <c r="A17" s="18" t="s">
        <v>163</v>
      </c>
      <c r="B17" s="17">
        <v>46050.754849537036</v>
      </c>
      <c r="C17" s="18" t="s">
        <v>153</v>
      </c>
      <c r="D17" s="18" t="s">
        <v>49</v>
      </c>
      <c r="E17" s="18" t="s">
        <v>154</v>
      </c>
      <c r="F17" s="18" t="s">
        <v>155</v>
      </c>
      <c r="G17" s="18" t="s">
        <v>156</v>
      </c>
      <c r="H17" s="18" t="s">
        <v>157</v>
      </c>
      <c r="I17" s="22" t="s">
        <v>158</v>
      </c>
      <c r="J17" s="22" t="s">
        <v>159</v>
      </c>
      <c r="K17" s="19"/>
      <c r="L17" s="19"/>
      <c r="M17" s="19"/>
      <c r="N17" s="19"/>
      <c r="O17" s="19"/>
      <c r="P17" s="19"/>
      <c r="Q17" s="19"/>
      <c r="R17" s="18" t="s">
        <v>160</v>
      </c>
      <c r="S17" s="18" t="s">
        <v>161</v>
      </c>
      <c r="T17" s="18" t="s">
        <v>56</v>
      </c>
      <c r="U17" s="18" t="s">
        <v>162</v>
      </c>
      <c r="V17" s="18" t="s">
        <v>163</v>
      </c>
      <c r="W17" s="18" t="s">
        <v>103</v>
      </c>
      <c r="X17" s="18" t="s">
        <v>164</v>
      </c>
      <c r="Y17" s="19"/>
      <c r="Z17" s="23" t="s">
        <v>60</v>
      </c>
    </row>
    <row r="18" spans="1:26" ht="357" thickBot="1" x14ac:dyDescent="0.35">
      <c r="A18" s="42" t="s">
        <v>22</v>
      </c>
      <c r="B18" s="41">
        <v>46051.498877314814</v>
      </c>
      <c r="C18" s="42" t="s">
        <v>165</v>
      </c>
      <c r="D18" s="42" t="s">
        <v>49</v>
      </c>
      <c r="E18" s="42" t="s">
        <v>154</v>
      </c>
      <c r="F18" s="42" t="s">
        <v>166</v>
      </c>
      <c r="G18" s="43">
        <v>2071773</v>
      </c>
      <c r="H18" s="42" t="s">
        <v>167</v>
      </c>
      <c r="I18" s="42" t="s">
        <v>168</v>
      </c>
      <c r="J18" s="44" t="s">
        <v>169</v>
      </c>
      <c r="K18" s="45"/>
      <c r="L18" s="45"/>
      <c r="M18" s="45"/>
      <c r="N18" s="45"/>
      <c r="O18" s="45"/>
      <c r="P18" s="45"/>
      <c r="Q18" s="45"/>
      <c r="R18" s="46">
        <v>350000</v>
      </c>
      <c r="S18" s="42" t="s">
        <v>170</v>
      </c>
      <c r="T18" s="42" t="s">
        <v>56</v>
      </c>
      <c r="U18" s="42" t="s">
        <v>171</v>
      </c>
      <c r="V18" s="42" t="s">
        <v>22</v>
      </c>
      <c r="W18" s="42" t="s">
        <v>103</v>
      </c>
      <c r="X18" s="42" t="s">
        <v>172</v>
      </c>
      <c r="Y18" s="45"/>
      <c r="Z18" s="47"/>
    </row>
  </sheetData>
  <hyperlinks>
    <hyperlink ref="P2" r:id="rId1" xr:uid="{C9043F13-22AA-4F9E-A45B-E5AFEC2467C7}"/>
    <hyperlink ref="Q2" r:id="rId2" xr:uid="{DDE8D48A-5356-4781-B805-3D3653B9A47B}"/>
    <hyperlink ref="P3" r:id="rId3" xr:uid="{2BD1F7F4-1B5E-4537-81FF-5BFC7D04B6C6}"/>
    <hyperlink ref="Q3" r:id="rId4" xr:uid="{322F6861-3887-4B11-966E-0F13C2408AFA}"/>
    <hyperlink ref="P4" r:id="rId5" xr:uid="{8E68B8A2-9F9C-4032-9EA2-0D8A8F7FEDFB}"/>
    <hyperlink ref="Q4" r:id="rId6" xr:uid="{0ECD2737-A9EF-4862-9208-8B663FFB25D0}"/>
    <hyperlink ref="P5" r:id="rId7" xr:uid="{F0FDF00F-E8B1-4812-B4FD-6350E7386F66}"/>
    <hyperlink ref="Q5" r:id="rId8" xr:uid="{ADA1D45E-FF10-4EFD-B01C-4EB7725208BA}"/>
    <hyperlink ref="P6" r:id="rId9" xr:uid="{ECEF15E0-CB79-405A-A35B-0AAE7245ADED}"/>
    <hyperlink ref="Q6" r:id="rId10" xr:uid="{041EB00E-56E4-449C-8808-A6BE2D8437B4}"/>
    <hyperlink ref="P8" r:id="rId11" xr:uid="{F1682E47-68FB-43B1-ABDA-9A25AFF26B2B}"/>
    <hyperlink ref="Q8" r:id="rId12" xr:uid="{F01FCA08-6640-43DE-97A4-4497845CD402}"/>
    <hyperlink ref="P9" r:id="rId13" xr:uid="{8BAD6BB1-55D1-478E-84AA-806C0C73C9DD}"/>
    <hyperlink ref="Q9" r:id="rId14" xr:uid="{48A493C3-FE78-408D-92B5-98181EBF6E2B}"/>
    <hyperlink ref="P10" r:id="rId15" xr:uid="{8C5B7AEF-5E76-45F5-9A69-FC56A08DA3FA}"/>
    <hyperlink ref="Q10" r:id="rId16" xr:uid="{DC67EB23-0D1E-48D8-B9B4-09112770D727}"/>
    <hyperlink ref="P11" r:id="rId17" xr:uid="{852DFB17-8340-4ADD-960D-1ED97A383572}"/>
    <hyperlink ref="Q11" r:id="rId18" xr:uid="{A286231B-57D4-4996-8E68-FF1CE0CC114D}"/>
    <hyperlink ref="P12" r:id="rId19" xr:uid="{47AFB269-0B12-460B-B513-92D1971F4400}"/>
    <hyperlink ref="Q12" r:id="rId20" xr:uid="{0D9E77AD-A8D8-45F7-A8D7-419DD0453CE9}"/>
    <hyperlink ref="P13" r:id="rId21" xr:uid="{6FC0AB7D-F58F-4678-A7E1-28893723F6BA}"/>
    <hyperlink ref="Q13" r:id="rId22" xr:uid="{8602A5C6-7D04-489A-BCCD-1F561E28915F}"/>
    <hyperlink ref="P14" r:id="rId23" xr:uid="{26CB5F0F-5A9B-47ED-BECC-963261D2BB60}"/>
    <hyperlink ref="Q14" r:id="rId24" xr:uid="{D0AA47CD-F8BF-44B7-9C6D-F30CCDA5C166}"/>
    <hyperlink ref="P15" r:id="rId25" xr:uid="{E703C661-449A-413E-9526-5B78D6B17FD5}"/>
    <hyperlink ref="Q15" r:id="rId26" xr:uid="{4E7C598D-3CF7-4BCE-845B-2F003C2C961C}"/>
    <hyperlink ref="P16" r:id="rId27" xr:uid="{DEB60B95-92E5-4DFF-85CB-C9732E59B84A}"/>
    <hyperlink ref="Q16" r:id="rId28" xr:uid="{CD13069B-B515-4788-8B6A-872628227470}"/>
    <hyperlink ref="I17" r:id="rId29" xr:uid="{1A21AA69-742D-48F7-8356-314E862B4B8C}"/>
    <hyperlink ref="J17" r:id="rId30" xr:uid="{788F7364-0771-4DF0-9F63-581CA5819C32}"/>
    <hyperlink ref="J18" r:id="rId31" xr:uid="{42DC7661-D0C4-4C4D-B9B1-AA74167AD4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Rateio LFT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Bottino</cp:lastModifiedBy>
  <dcterms:created xsi:type="dcterms:W3CDTF">2026-02-10T20:26:25Z</dcterms:created>
  <dcterms:modified xsi:type="dcterms:W3CDTF">2026-02-11T21:43:03Z</dcterms:modified>
</cp:coreProperties>
</file>