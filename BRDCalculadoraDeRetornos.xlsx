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brd\"/>
    </mc:Choice>
  </mc:AlternateContent>
  <xr:revisionPtr revIDLastSave="0" documentId="8_{3A9C9A59-8897-4AF2-8A2F-C4F52D0C8B6A}" xr6:coauthVersionLast="47" xr6:coauthVersionMax="47" xr10:uidLastSave="{00000000-0000-0000-0000-000000000000}"/>
  <bookViews>
    <workbookView xWindow="-108" yWindow="-108" windowWidth="23256" windowHeight="12456" activeTab="1" xr2:uid="{8AB283EB-853B-4D03-B20F-17C661D17A75}"/>
  </bookViews>
  <sheets>
    <sheet name="Parametros" sheetId="1" r:id="rId1"/>
    <sheet name="Calculad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4" i="2"/>
  <c r="E5" i="2"/>
  <c r="E6" i="2"/>
  <c r="E4" i="2"/>
  <c r="D5" i="2"/>
  <c r="D4" i="2"/>
  <c r="C5" i="2"/>
  <c r="C6" i="2"/>
  <c r="D6" i="2" s="1"/>
  <c r="C4" i="2"/>
  <c r="B15" i="1"/>
  <c r="B14" i="1"/>
  <c r="B4" i="1"/>
  <c r="B9" i="1"/>
</calcChain>
</file>

<file path=xl/sharedStrings.xml><?xml version="1.0" encoding="utf-8"?>
<sst xmlns="http://schemas.openxmlformats.org/spreadsheetml/2006/main" count="21" uniqueCount="21">
  <si>
    <t>Liquidation</t>
  </si>
  <si>
    <t>D+1</t>
  </si>
  <si>
    <t>Lote de Criacao</t>
  </si>
  <si>
    <t>Preco de Compra de Formador de Mercado</t>
  </si>
  <si>
    <t>Preco de Venda de Formador de Mercado</t>
  </si>
  <si>
    <t>Adm</t>
  </si>
  <si>
    <t>Financeiro Criacao</t>
  </si>
  <si>
    <t>Imposto 180 dias</t>
  </si>
  <si>
    <t>Imposto 181 a 720 dias</t>
  </si>
  <si>
    <t>Imposto acima de 720 dias</t>
  </si>
  <si>
    <t>Taxa Selic / Ano</t>
  </si>
  <si>
    <t>Taxa Selic / Dia Util</t>
  </si>
  <si>
    <t>RetornoTeorico</t>
  </si>
  <si>
    <t>Taxa Selic Efetiva / Dia Util</t>
  </si>
  <si>
    <t>Spread Compra e Venda</t>
  </si>
  <si>
    <t>Dias Depositados</t>
  </si>
  <si>
    <t>Retorno-Spread</t>
  </si>
  <si>
    <t>Retorno-Spread-Impostos</t>
  </si>
  <si>
    <t>Impostos</t>
  </si>
  <si>
    <t>LFTS11 Parametros</t>
  </si>
  <si>
    <t>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</si>
</sst>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0.0000%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9" fontId="0" fillId="0" borderId="0" xfId="0" applyNumberFormat="1"/>
    <xf numFmtId="166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F5355-9178-479B-9045-1D603384EB7C}" name="Table2" displayName="Table2" ref="A2:B15" totalsRowShown="0" headerRowDxfId="0">
  <autoFilter ref="A2:B15" xr:uid="{CB6F5355-9178-479B-9045-1D603384EB7C}"/>
  <tableColumns count="2">
    <tableColumn id="1" xr3:uid="{DB6900AE-4726-49EA-BC7C-7354D4EB5EC5}" name="LFTS11 Parametros"/>
    <tableColumn id="2" xr3:uid="{2D6E30FF-CF90-45FB-AC7A-B148B5DE7021}" name="Dado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D3850-A6B2-467D-A043-C57D3F348104}" name="Table1" displayName="Table1" ref="B3:F6" totalsRowShown="0">
  <autoFilter ref="B3:F6" xr:uid="{6CBD3850-A6B2-467D-A043-C57D3F348104}"/>
  <tableColumns count="5">
    <tableColumn id="1" xr3:uid="{46A3C443-712D-4742-870B-889F467604BA}" name="Dias Depositados"/>
    <tableColumn id="2" xr3:uid="{6260FFB1-DD61-41B2-A172-70306B6B1CAC}" name="RetornoTeorico" dataDxfId="5">
      <calculatedColumnFormula>POWER(1+Parametros!B$15,Calculadora!B4)-1</calculatedColumnFormula>
    </tableColumn>
    <tableColumn id="3" xr3:uid="{7928AA58-C438-476C-BDEE-96113E7F762F}" name="Retorno-Spread" dataDxfId="4">
      <calculatedColumnFormula>C4-Parametros!B$9</calculatedColumnFormula>
    </tableColumn>
    <tableColumn id="4" xr3:uid="{20B46FCD-4C7A-44E1-910D-CB39A8A962AF}" name="Impostos" dataDxfId="3">
      <calculatedColumnFormula>IF(B4&lt;=180,Parametros!B$10,IF(B4&lt;=720,Parametros!B$11,Parametros!B$12))</calculatedColumnFormula>
    </tableColumn>
    <tableColumn id="5" xr3:uid="{1945E317-68A2-4996-9D2A-CEE997B43E3E}" name="Retorno-Spread-Impostos" dataDxfId="2">
      <calculatedColumnFormula>D4*(1-E4)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2451-7B7C-49FD-8B7D-9417BB2392E8}">
  <dimension ref="A2:B15"/>
  <sheetViews>
    <sheetView workbookViewId="0">
      <selection activeCell="B18" sqref="B18"/>
    </sheetView>
  </sheetViews>
  <sheetFormatPr defaultRowHeight="13.8"/>
  <cols>
    <col min="1" max="1" width="31.59765625" customWidth="1"/>
    <col min="2" max="2" width="12.69921875" bestFit="1" customWidth="1"/>
  </cols>
  <sheetData>
    <row r="2" spans="1:2">
      <c r="A2" s="5" t="s">
        <v>19</v>
      </c>
      <c r="B2" s="5" t="s">
        <v>20</v>
      </c>
    </row>
    <row r="3" spans="1:2">
      <c r="A3" t="s">
        <v>2</v>
      </c>
      <c r="B3">
        <v>2500</v>
      </c>
    </row>
    <row r="4" spans="1:2">
      <c r="A4" t="s">
        <v>6</v>
      </c>
      <c r="B4" s="4">
        <f>B3*B8</f>
        <v>353050</v>
      </c>
    </row>
    <row r="5" spans="1:2">
      <c r="A5" t="s">
        <v>0</v>
      </c>
      <c r="B5" t="s">
        <v>1</v>
      </c>
    </row>
    <row r="6" spans="1:2">
      <c r="A6" t="s">
        <v>5</v>
      </c>
      <c r="B6" s="1">
        <v>1.9E-3</v>
      </c>
    </row>
    <row r="7" spans="1:2">
      <c r="A7" t="s">
        <v>3</v>
      </c>
      <c r="B7">
        <v>141.18</v>
      </c>
    </row>
    <row r="8" spans="1:2">
      <c r="A8" t="s">
        <v>4</v>
      </c>
      <c r="B8">
        <v>141.22</v>
      </c>
    </row>
    <row r="9" spans="1:2">
      <c r="A9" t="s">
        <v>14</v>
      </c>
      <c r="B9" s="3">
        <f>B8/B7-1</f>
        <v>2.8332625017712942E-4</v>
      </c>
    </row>
    <row r="10" spans="1:2">
      <c r="A10" t="s">
        <v>7</v>
      </c>
      <c r="B10" s="2">
        <v>0.25</v>
      </c>
    </row>
    <row r="11" spans="1:2">
      <c r="A11" t="s">
        <v>8</v>
      </c>
      <c r="B11" s="2">
        <v>0.2</v>
      </c>
    </row>
    <row r="12" spans="1:2">
      <c r="A12" t="s">
        <v>9</v>
      </c>
      <c r="B12" s="2">
        <v>0.15</v>
      </c>
    </row>
    <row r="13" spans="1:2">
      <c r="A13" t="s">
        <v>10</v>
      </c>
      <c r="B13" s="2">
        <v>0.15</v>
      </c>
    </row>
    <row r="14" spans="1:2">
      <c r="A14" t="s">
        <v>11</v>
      </c>
      <c r="B14" s="3">
        <f>POWER(1+B13,1/252)-1</f>
        <v>5.5476470749282747E-4</v>
      </c>
    </row>
    <row r="15" spans="1:2">
      <c r="A15" t="s">
        <v>13</v>
      </c>
      <c r="B15" s="3">
        <f>POWER(1+B13-B6,1/252)-1</f>
        <v>5.4819942116224318E-4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4E0C-0CE6-454D-B8E6-7FE044B40BC6}">
  <dimension ref="B3:F6"/>
  <sheetViews>
    <sheetView tabSelected="1" workbookViewId="0">
      <selection activeCell="B5" sqref="B5:B6"/>
    </sheetView>
  </sheetViews>
  <sheetFormatPr defaultRowHeight="13.8"/>
  <cols>
    <col min="2" max="2" width="16.796875" customWidth="1"/>
    <col min="3" max="3" width="15.09765625" customWidth="1"/>
    <col min="4" max="4" width="15.3984375" customWidth="1"/>
    <col min="5" max="5" width="10" customWidth="1"/>
    <col min="6" max="6" width="23.5" customWidth="1"/>
  </cols>
  <sheetData>
    <row r="3" spans="2:6">
      <c r="B3" t="s">
        <v>15</v>
      </c>
      <c r="C3" t="s">
        <v>12</v>
      </c>
      <c r="D3" t="s">
        <v>16</v>
      </c>
      <c r="E3" t="s">
        <v>18</v>
      </c>
      <c r="F3" t="s">
        <v>17</v>
      </c>
    </row>
    <row r="4" spans="2:6">
      <c r="B4">
        <v>180</v>
      </c>
      <c r="C4" s="1">
        <f>POWER(1+Parametros!B$15,Calculadora!B4)-1</f>
        <v>0.10367868429184002</v>
      </c>
      <c r="D4" s="1">
        <f>C4-Parametros!B$9</f>
        <v>0.10339535804166289</v>
      </c>
      <c r="E4" s="1">
        <f>IF(B4&lt;=180,Parametros!B$10,IF(B4&lt;=720,Parametros!B$11,Parametros!B$12))</f>
        <v>0.25</v>
      </c>
      <c r="F4" s="1">
        <f>D4*(1-E4)</f>
        <v>7.7546518531247166E-2</v>
      </c>
    </row>
    <row r="5" spans="2:6">
      <c r="B5">
        <v>720</v>
      </c>
      <c r="C5" s="1">
        <f>POWER(1+Parametros!B$15,Calculadora!B5)-1</f>
        <v>0.48378378192986426</v>
      </c>
      <c r="D5" s="1">
        <f>C5-Parametros!B$9</f>
        <v>0.48350045567968714</v>
      </c>
      <c r="E5" s="1">
        <f>IF(B5&lt;=180,Parametros!B$10,IF(B5&lt;=720,Parametros!B$11,Parametros!B$12))</f>
        <v>0.2</v>
      </c>
      <c r="F5" s="1">
        <f t="shared" ref="F5:F6" si="0">D5*(1-E5)</f>
        <v>0.38680036454374972</v>
      </c>
    </row>
    <row r="6" spans="2:6">
      <c r="B6">
        <v>1000</v>
      </c>
      <c r="C6" s="1">
        <f>POWER(1+Parametros!B$15,Calculadora!B6)-1</f>
        <v>0.72987510930829935</v>
      </c>
      <c r="D6" s="1">
        <f>C6-Parametros!B$9</f>
        <v>0.72959178305812222</v>
      </c>
      <c r="E6" s="1">
        <f>IF(B6&lt;=180,Parametros!B$10,IF(B6&lt;=720,Parametros!B$11,Parametros!B$12))</f>
        <v>0.15</v>
      </c>
      <c r="F6" s="1">
        <f t="shared" si="0"/>
        <v>0.62015301559940383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Bottino</dc:creator>
  <cp:lastModifiedBy>Luca Bottino</cp:lastModifiedBy>
  <dcterms:created xsi:type="dcterms:W3CDTF">2025-10-13T17:00:37Z</dcterms:created>
  <dcterms:modified xsi:type="dcterms:W3CDTF">2025-10-13T17:38:16Z</dcterms:modified>
</cp:coreProperties>
</file>